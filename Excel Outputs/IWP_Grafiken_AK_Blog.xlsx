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rgebnisse\Descriptiv\"/>
    </mc:Choice>
  </mc:AlternateContent>
  <xr:revisionPtr revIDLastSave="0" documentId="8_{462EE65E-9001-4CF1-9B23-5EE0554AD7F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bb1_Einkommenslücke" sheetId="2" r:id="rId1"/>
    <sheet name="Abb2_Deprivation" sheetId="1" r:id="rId2"/>
    <sheet name="Tabelle1" sheetId="3" r:id="rId3"/>
  </sheets>
  <definedNames>
    <definedName name="_xlnm._FilterDatabase" localSheetId="2" hidden="1">Tabelle1!$A$5:$E$5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3" l="1"/>
  <c r="E18" i="3"/>
  <c r="E9" i="3"/>
  <c r="E10" i="3"/>
  <c r="E14" i="3"/>
  <c r="E11" i="3"/>
  <c r="E8" i="3"/>
  <c r="E6" i="3"/>
  <c r="E16" i="3"/>
  <c r="E12" i="3"/>
  <c r="E15" i="3"/>
  <c r="E7" i="3"/>
  <c r="E17" i="3"/>
  <c r="D6" i="3"/>
  <c r="D16" i="3"/>
  <c r="D12" i="3"/>
  <c r="D15" i="3"/>
  <c r="D7" i="3"/>
  <c r="D8" i="3"/>
  <c r="D13" i="3" l="1"/>
  <c r="D18" i="3"/>
  <c r="D9" i="3"/>
  <c r="D10" i="3"/>
  <c r="D14" i="3"/>
  <c r="D11" i="3"/>
  <c r="D17" i="3"/>
  <c r="F13" i="2"/>
  <c r="D13" i="2"/>
  <c r="D14" i="2"/>
  <c r="D12" i="2"/>
  <c r="F14" i="2"/>
  <c r="C16" i="2"/>
  <c r="C17" i="2" s="1"/>
  <c r="E16" i="2"/>
  <c r="E17" i="2" s="1"/>
  <c r="F12" i="2"/>
  <c r="F16" i="2" s="1"/>
  <c r="F17" i="2" s="1"/>
  <c r="F11" i="2"/>
  <c r="F10" i="2"/>
  <c r="F9" i="2"/>
  <c r="F8" i="2"/>
  <c r="F7" i="2"/>
  <c r="F6" i="2"/>
  <c r="D11" i="2"/>
  <c r="D10" i="2"/>
  <c r="D9" i="2"/>
  <c r="D8" i="2"/>
  <c r="D7" i="2"/>
  <c r="D6" i="2"/>
  <c r="D16" i="2" l="1"/>
  <c r="D17" i="2" s="1"/>
</calcChain>
</file>

<file path=xl/sharedStrings.xml><?xml version="1.0" encoding="utf-8"?>
<sst xmlns="http://schemas.openxmlformats.org/spreadsheetml/2006/main" count="46" uniqueCount="40">
  <si>
    <t>Materielle und soziale Deprivation: Armutsgefährdete mit und ohne Beschäftigung</t>
  </si>
  <si>
    <t>Anteil Betroffener (Post-Transfer), Ø 2018–2024</t>
  </si>
  <si>
    <t>Deprivationsindikator</t>
  </si>
  <si>
    <t>Urlaub nicht leistbar</t>
  </si>
  <si>
    <t>Quelle: EU-SILC Österreich, eigene Berechnungen.</t>
  </si>
  <si>
    <t>Wachsende Einkommenslücke zur Armutsschwelle (2018–2024)</t>
  </si>
  <si>
    <t>Durchschnittliche monatliche Lücke nach Transfers (in €)</t>
  </si>
  <si>
    <t>Jahr</t>
  </si>
  <si>
    <t>Working Poor (%)</t>
  </si>
  <si>
    <t>Armutsbetroffene ohne Erwerbsarbeit (%)</t>
  </si>
  <si>
    <t>Quelle: EU-SILC Österreich Ø 2018–2024, eigene Berechnungen.</t>
  </si>
  <si>
    <t>Guter Internetzugang</t>
  </si>
  <si>
    <t>Kleidung ersetzen können</t>
  </si>
  <si>
    <t>Wohnung heizen können</t>
  </si>
  <si>
    <t>Kleinen Geldbetrag für sich selbst ausgeben</t>
  </si>
  <si>
    <t>Kostenpflichtigen Freizeitaktivitäten nachgehen</t>
  </si>
  <si>
    <t>Freund:innen oder Familie 
zum Essen/Trinken zu treffen</t>
  </si>
  <si>
    <t>Armutsbetroffene ohne Erwerbsarbeit (nominal)</t>
  </si>
  <si>
    <t>Armutsbetroffene ohne Erwerbsarbeit (real)</t>
  </si>
  <si>
    <t>Working Poor (nominal)</t>
  </si>
  <si>
    <t>Working Poor (real)</t>
  </si>
  <si>
    <t>VPI Deflator (2018=100)</t>
  </si>
  <si>
    <t>VPI  (2020=100)</t>
  </si>
  <si>
    <t>Anstieg:</t>
  </si>
  <si>
    <t>Unexpected Expenses</t>
  </si>
  <si>
    <t>Holiday</t>
  </si>
  <si>
    <t>Arrears</t>
  </si>
  <si>
    <t>Meal</t>
  </si>
  <si>
    <t>Warm</t>
  </si>
  <si>
    <t>Car</t>
  </si>
  <si>
    <t>Furniture</t>
  </si>
  <si>
    <t>PP Difference</t>
  </si>
  <si>
    <t>Ratio</t>
  </si>
  <si>
    <t xml:space="preserve">Cloth </t>
  </si>
  <si>
    <t>Shoes</t>
  </si>
  <si>
    <t>Social Activity</t>
  </si>
  <si>
    <t>Leisure</t>
  </si>
  <si>
    <t>Pocket Money</t>
  </si>
  <si>
    <t>Internet</t>
  </si>
  <si>
    <t xml:space="preserve">Unerwartete Ausgaben tätigen 
(idHv. 1.300€)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</si>
</sst>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\ &quot;€&quot;"/>
    <numFmt numFmtId="165" formatCode="0.0&quot;%&quot;"/>
    <numFmt numFmtId="166" formatCode="#,##0.0"/>
    <numFmt numFmtId="167" formatCode="&quot;€&quot;\ #,##0.0"/>
    <numFmt numFmtId="168" formatCode="0.0"/>
  </numFmts>
  <fonts count="13">
    <font>
      <sz val="11"/>
      <color theme="1"/>
      <name val="Calibri"/>
      <family val="2"/>
      <scheme val="minor"/>
    </font>
    <font>
      <b/>
      <sz val="13"/>
      <color rgb="FF1A4F8A"/>
      <name val="Arial"/>
    </font>
    <font>
      <i/>
      <sz val="10"/>
      <color rgb="FF555555"/>
      <name val="Arial"/>
    </font>
    <font>
      <b/>
      <sz val="11"/>
      <color rgb="FFFFFFFF"/>
      <name val="Arial"/>
    </font>
    <font>
      <sz val="10"/>
      <name val="Arial"/>
    </font>
    <font>
      <i/>
      <sz val="9"/>
      <color rgb="FF888888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1A4F8A"/>
      <name val="Calibri"/>
      <family val="2"/>
    </font>
    <font>
      <i/>
      <sz val="11"/>
      <color rgb="FF55555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A4F8A"/>
      </patternFill>
    </fill>
    <fill>
      <patternFill patternType="solid">
        <fgColor rgb="FFFFFFFF"/>
      </patternFill>
    </fill>
    <fill>
      <patternFill patternType="solid">
        <fgColor rgb="FFF4F8FC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/>
    <xf numFmtId="165" fontId="4" fillId="3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0" fillId="0" borderId="0" xfId="0"/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0" xfId="0"/>
    <xf numFmtId="0" fontId="0" fillId="0" borderId="0" xfId="0" applyBorder="1"/>
    <xf numFmtId="0" fontId="7" fillId="0" borderId="0" xfId="0" applyFont="1" applyBorder="1"/>
    <xf numFmtId="0" fontId="12" fillId="0" borderId="0" xfId="0" applyFont="1" applyBorder="1"/>
    <xf numFmtId="164" fontId="9" fillId="0" borderId="0" xfId="0" applyNumberFormat="1" applyFont="1" applyFill="1" applyBorder="1" applyAlignment="1">
      <alignment horizontal="center"/>
    </xf>
    <xf numFmtId="166" fontId="8" fillId="0" borderId="0" xfId="0" applyNumberFormat="1" applyFont="1" applyFill="1" applyBorder="1" applyAlignment="1">
      <alignment horizontal="center" vertical="center"/>
    </xf>
    <xf numFmtId="166" fontId="8" fillId="0" borderId="0" xfId="1" applyNumberFormat="1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/>
    </xf>
    <xf numFmtId="166" fontId="8" fillId="0" borderId="3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/>
    </xf>
    <xf numFmtId="164" fontId="9" fillId="0" borderId="5" xfId="0" applyNumberFormat="1" applyFont="1" applyFill="1" applyBorder="1" applyAlignment="1">
      <alignment horizontal="center"/>
    </xf>
    <xf numFmtId="166" fontId="8" fillId="0" borderId="5" xfId="0" applyNumberFormat="1" applyFont="1" applyFill="1" applyBorder="1" applyAlignment="1">
      <alignment horizontal="center" vertical="center"/>
    </xf>
    <xf numFmtId="166" fontId="8" fillId="0" borderId="6" xfId="0" applyNumberFormat="1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9" fontId="0" fillId="0" borderId="0" xfId="1" applyFont="1"/>
    <xf numFmtId="167" fontId="0" fillId="0" borderId="0" xfId="0" applyNumberFormat="1"/>
    <xf numFmtId="0" fontId="11" fillId="0" borderId="0" xfId="0" applyFont="1" applyBorder="1"/>
    <xf numFmtId="0" fontId="7" fillId="0" borderId="0" xfId="0" applyFont="1" applyBorder="1"/>
    <xf numFmtId="0" fontId="1" fillId="0" borderId="0" xfId="0" applyFont="1" applyAlignment="1">
      <alignment horizontal="left"/>
    </xf>
    <xf numFmtId="0" fontId="0" fillId="0" borderId="0" xfId="0"/>
    <xf numFmtId="168" fontId="0" fillId="0" borderId="0" xfId="0" applyNumberFormat="1"/>
    <xf numFmtId="0" fontId="3" fillId="2" borderId="10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65" fontId="4" fillId="5" borderId="1" xfId="0" applyNumberFormat="1" applyFont="1" applyFill="1" applyBorder="1" applyAlignment="1">
      <alignment horizontal="center" vertical="center"/>
    </xf>
    <xf numFmtId="168" fontId="0" fillId="5" borderId="0" xfId="0" applyNumberFormat="1" applyFill="1"/>
    <xf numFmtId="0" fontId="0" fillId="5" borderId="0" xfId="0" applyFill="1"/>
  </cellXfs>
  <cellStyles count="2">
    <cellStyle name="Prozent" xfId="1" builtinId="5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10"/>
  <c:chart>
    <c:autoTitleDeleted val="1"/>
    <c:plotArea>
      <c:layout>
        <c:manualLayout>
          <c:layoutTarget val="inner"/>
          <c:xMode val="edge"/>
          <c:yMode val="edge"/>
          <c:x val="0.1495695987654321"/>
          <c:y val="0.21196805555555556"/>
          <c:w val="0.77595509259259254"/>
          <c:h val="0.69380601851851853"/>
        </c:manualLayout>
      </c:layout>
      <c:lineChart>
        <c:grouping val="standard"/>
        <c:varyColors val="1"/>
        <c:ser>
          <c:idx val="0"/>
          <c:order val="0"/>
          <c:tx>
            <c:strRef>
              <c:f>Abb1_Einkommenslücke!$C$5</c:f>
              <c:strCache>
                <c:ptCount val="1"/>
                <c:pt idx="0">
                  <c:v>Armutsbetroffene ohne Erwerbsarbeit (nominal)</c:v>
                </c:pt>
              </c:strCache>
            </c:strRef>
          </c:tx>
          <c:spPr>
            <a:ln w="31750" cap="flat">
              <a:solidFill>
                <a:srgbClr val="1A4F8A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1A4F8A"/>
              </a:solidFill>
              <a:ln>
                <a:solidFill>
                  <a:srgbClr val="1A4F8A"/>
                </a:solidFill>
                <a:prstDash val="solid"/>
              </a:ln>
            </c:spPr>
          </c:marker>
          <c:cat>
            <c:numRef>
              <c:f>Abb1_Einkommenslücke!$B$6:$B$12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Abb1_Einkommenslücke!$C$6:$C$12</c:f>
              <c:numCache>
                <c:formatCode>#,##0\ "€"</c:formatCode>
                <c:ptCount val="7"/>
                <c:pt idx="0">
                  <c:v>356</c:v>
                </c:pt>
                <c:pt idx="1">
                  <c:v>402</c:v>
                </c:pt>
                <c:pt idx="2">
                  <c:v>389</c:v>
                </c:pt>
                <c:pt idx="3">
                  <c:v>407</c:v>
                </c:pt>
                <c:pt idx="4">
                  <c:v>432</c:v>
                </c:pt>
                <c:pt idx="5">
                  <c:v>472</c:v>
                </c:pt>
                <c:pt idx="6">
                  <c:v>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25-43C3-84CA-9A303754A5A4}"/>
            </c:ext>
          </c:extLst>
        </c:ser>
        <c:ser>
          <c:idx val="1"/>
          <c:order val="1"/>
          <c:tx>
            <c:strRef>
              <c:f>Abb1_Einkommenslücke!$E$5</c:f>
              <c:strCache>
                <c:ptCount val="1"/>
                <c:pt idx="0">
                  <c:v>Working Poor (nominal)</c:v>
                </c:pt>
              </c:strCache>
            </c:strRef>
          </c:tx>
          <c:spPr>
            <a:ln w="20000" cap="flat">
              <a:solidFill>
                <a:srgbClr val="7AADD4"/>
              </a:solidFill>
              <a:prstDash val="solid"/>
              <a:bevel/>
            </a:ln>
          </c:spPr>
          <c:marker>
            <c:symbol val="circle"/>
            <c:size val="6"/>
            <c:spPr>
              <a:solidFill>
                <a:srgbClr val="7AADD4"/>
              </a:solidFill>
              <a:ln>
                <a:solidFill>
                  <a:srgbClr val="7AADD4"/>
                </a:solidFill>
                <a:prstDash val="solid"/>
              </a:ln>
            </c:spPr>
          </c:marker>
          <c:cat>
            <c:numRef>
              <c:f>Abb1_Einkommenslücke!$B$6:$B$12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Abb1_Einkommenslücke!$E$6:$E$12</c:f>
              <c:numCache>
                <c:formatCode>#,##0\ "€"</c:formatCode>
                <c:ptCount val="7"/>
                <c:pt idx="0">
                  <c:v>315</c:v>
                </c:pt>
                <c:pt idx="1">
                  <c:v>383</c:v>
                </c:pt>
                <c:pt idx="2">
                  <c:v>422</c:v>
                </c:pt>
                <c:pt idx="3">
                  <c:v>444</c:v>
                </c:pt>
                <c:pt idx="4">
                  <c:v>453</c:v>
                </c:pt>
                <c:pt idx="5">
                  <c:v>467</c:v>
                </c:pt>
                <c:pt idx="6">
                  <c:v>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25-43C3-84CA-9A303754A5A4}"/>
            </c:ext>
          </c:extLst>
        </c:ser>
        <c:ser>
          <c:idx val="2"/>
          <c:order val="2"/>
          <c:tx>
            <c:strRef>
              <c:f>Abb1_Einkommenslücke!$D$5</c:f>
              <c:strCache>
                <c:ptCount val="1"/>
                <c:pt idx="0">
                  <c:v>Armutsbetroffene ohne Erwerbsarbeit (real)</c:v>
                </c:pt>
              </c:strCache>
            </c:strRef>
          </c:tx>
          <c:val>
            <c:numRef>
              <c:f>Abb1_Einkommenslücke!$D$6:$D$12</c:f>
              <c:numCache>
                <c:formatCode>#,##0\ "€"</c:formatCode>
                <c:ptCount val="7"/>
                <c:pt idx="0">
                  <c:v>356</c:v>
                </c:pt>
                <c:pt idx="1">
                  <c:v>391.81286549707602</c:v>
                </c:pt>
                <c:pt idx="2">
                  <c:v>363.21195144724555</c:v>
                </c:pt>
                <c:pt idx="3">
                  <c:v>366.33663366336634</c:v>
                </c:pt>
                <c:pt idx="4">
                  <c:v>352.36541598694947</c:v>
                </c:pt>
                <c:pt idx="5">
                  <c:v>355.15425131677955</c:v>
                </c:pt>
                <c:pt idx="6">
                  <c:v>364.87455197132618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77-483C-B5C8-491EA1A39EA7}"/>
            </c:ext>
          </c:extLst>
        </c:ser>
        <c:ser>
          <c:idx val="3"/>
          <c:order val="3"/>
          <c:tx>
            <c:strRef>
              <c:f>Abb1_Einkommenslücke!$F$5</c:f>
              <c:strCache>
                <c:ptCount val="1"/>
                <c:pt idx="0">
                  <c:v>Working Poor (real)</c:v>
                </c:pt>
              </c:strCache>
            </c:strRef>
          </c:tx>
          <c:spPr>
            <a:ln w="31750"/>
          </c:spPr>
          <c:val>
            <c:numRef>
              <c:f>Abb1_Einkommenslücke!$F$6:$F$12</c:f>
              <c:numCache>
                <c:formatCode>#,##0\ "€"</c:formatCode>
                <c:ptCount val="7"/>
                <c:pt idx="0">
                  <c:v>315</c:v>
                </c:pt>
                <c:pt idx="1">
                  <c:v>373.29434697855754</c:v>
                </c:pt>
                <c:pt idx="2">
                  <c:v>394.02427637721757</c:v>
                </c:pt>
                <c:pt idx="3">
                  <c:v>399.63996399639962</c:v>
                </c:pt>
                <c:pt idx="4">
                  <c:v>369.49429037520395</c:v>
                </c:pt>
                <c:pt idx="5">
                  <c:v>351.39202407825434</c:v>
                </c:pt>
                <c:pt idx="6">
                  <c:v>376.34408602150535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77-483C-B5C8-491EA1A39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2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Einkommenslücke (€/Monat)</a:t>
                </a:r>
              </a:p>
            </c:rich>
          </c:tx>
          <c:overlay val="1"/>
        </c:title>
        <c:numFmt formatCode="#,##0\ &quot;€&quot;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10710138888888888"/>
          <c:y val="3.2337962962962964E-2"/>
          <c:w val="0.72112129629629629"/>
          <c:h val="0.14306851851851851"/>
        </c:manualLayout>
      </c:layout>
      <c:overlay val="0"/>
    </c:legend>
    <c:plotVisOnly val="1"/>
    <c:dispBlanksAs val="gap"/>
    <c:showDLblsOverMax val="1"/>
  </c:chart>
  <c:spPr>
    <a:noFill/>
    <a:ln>
      <a:solidFill>
        <a:schemeClr val="accent1"/>
      </a:solidFill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88994784742816"/>
          <c:y val="0.14446753582031754"/>
          <c:w val="0.67477560759450528"/>
          <c:h val="0.73477216987220872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Abb2_Deprivation!$C$5</c:f>
              <c:strCache>
                <c:ptCount val="1"/>
                <c:pt idx="0">
                  <c:v>Armutsbetroffene ohne Erwerbsarbeit (%)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Abb2_Deprivation!$B$6:$B$13</c:f>
              <c:strCache>
                <c:ptCount val="8"/>
                <c:pt idx="0">
                  <c:v>Urlaub nicht leistbar</c:v>
                </c:pt>
                <c:pt idx="1">
                  <c:v>Kostenpflichtigen Freizeitaktivitäten nachgehen</c:v>
                </c:pt>
                <c:pt idx="2">
                  <c:v>Unerwartete Ausgaben tätigen 
(idHv. 1.300€) </c:v>
                </c:pt>
                <c:pt idx="3">
                  <c:v>Kleinen Geldbetrag für sich selbst ausgeben</c:v>
                </c:pt>
                <c:pt idx="4">
                  <c:v>Wohnung heizen können</c:v>
                </c:pt>
                <c:pt idx="5">
                  <c:v>Kleidung ersetzen können</c:v>
                </c:pt>
                <c:pt idx="6">
                  <c:v>Freund:innen oder Familie 
zum Essen/Trinken zu treffen</c:v>
                </c:pt>
                <c:pt idx="7">
                  <c:v>Guter Internetzugang</c:v>
                </c:pt>
              </c:strCache>
            </c:strRef>
          </c:cat>
          <c:val>
            <c:numRef>
              <c:f>Abb2_Deprivation!$C$6:$C$13</c:f>
              <c:numCache>
                <c:formatCode>0.0"%"</c:formatCode>
                <c:ptCount val="8"/>
                <c:pt idx="0">
                  <c:v>45.6</c:v>
                </c:pt>
                <c:pt idx="1">
                  <c:v>35.24</c:v>
                </c:pt>
                <c:pt idx="2">
                  <c:v>60.14</c:v>
                </c:pt>
                <c:pt idx="3">
                  <c:v>31.08</c:v>
                </c:pt>
                <c:pt idx="4">
                  <c:v>8.0399999999999991</c:v>
                </c:pt>
                <c:pt idx="5">
                  <c:v>18.82</c:v>
                </c:pt>
                <c:pt idx="6">
                  <c:v>12.59</c:v>
                </c:pt>
                <c:pt idx="7">
                  <c:v>5.88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6592-4A5A-8C13-6DFDE0E9AB7C}"/>
            </c:ext>
          </c:extLst>
        </c:ser>
        <c:ser>
          <c:idx val="1"/>
          <c:order val="1"/>
          <c:tx>
            <c:strRef>
              <c:f>Abb2_Deprivation!$D$5</c:f>
              <c:strCache>
                <c:ptCount val="1"/>
                <c:pt idx="0">
                  <c:v>Working Poor (%)</c:v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Abb2_Deprivation!$B$6:$B$13</c:f>
              <c:strCache>
                <c:ptCount val="8"/>
                <c:pt idx="0">
                  <c:v>Urlaub nicht leistbar</c:v>
                </c:pt>
                <c:pt idx="1">
                  <c:v>Kostenpflichtigen Freizeitaktivitäten nachgehen</c:v>
                </c:pt>
                <c:pt idx="2">
                  <c:v>Unerwartete Ausgaben tätigen 
(idHv. 1.300€) </c:v>
                </c:pt>
                <c:pt idx="3">
                  <c:v>Kleinen Geldbetrag für sich selbst ausgeben</c:v>
                </c:pt>
                <c:pt idx="4">
                  <c:v>Wohnung heizen können</c:v>
                </c:pt>
                <c:pt idx="5">
                  <c:v>Kleidung ersetzen können</c:v>
                </c:pt>
                <c:pt idx="6">
                  <c:v>Freund:innen oder Familie 
zum Essen/Trinken zu treffen</c:v>
                </c:pt>
                <c:pt idx="7">
                  <c:v>Guter Internetzugang</c:v>
                </c:pt>
              </c:strCache>
            </c:strRef>
          </c:cat>
          <c:val>
            <c:numRef>
              <c:f>Abb2_Deprivation!$D$6:$D$13</c:f>
              <c:numCache>
                <c:formatCode>0.0"%"</c:formatCode>
                <c:ptCount val="8"/>
                <c:pt idx="0">
                  <c:v>23.33</c:v>
                </c:pt>
                <c:pt idx="1">
                  <c:v>17.97</c:v>
                </c:pt>
                <c:pt idx="2">
                  <c:v>39.479999999999997</c:v>
                </c:pt>
                <c:pt idx="3">
                  <c:v>16.84</c:v>
                </c:pt>
                <c:pt idx="4">
                  <c:v>3.88</c:v>
                </c:pt>
                <c:pt idx="5">
                  <c:v>8.4600000000000009</c:v>
                </c:pt>
                <c:pt idx="6">
                  <c:v>6.86</c:v>
                </c:pt>
                <c:pt idx="7">
                  <c:v>2.2999999999999998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6592-4A5A-8C13-6DFDE0E9A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Anteil Betroffener (%)</a:t>
                </a:r>
              </a:p>
            </c:rich>
          </c:tx>
          <c:layout>
            <c:manualLayout>
              <c:xMode val="edge"/>
              <c:yMode val="edge"/>
              <c:x val="0"/>
              <c:y val="0.32046684738178227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t" anchorCtr="0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605694594434019"/>
          <c:y val="1.6393442622950821E-2"/>
          <c:w val="0.54339417958906933"/>
          <c:h val="7.88937653285142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171450</xdr:colOff>
      <xdr:row>20</xdr:row>
      <xdr:rowOff>123825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314326</xdr:colOff>
      <xdr:row>1</xdr:row>
      <xdr:rowOff>142875</xdr:rowOff>
    </xdr:from>
    <xdr:ext cx="7334250" cy="4648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topLeftCell="A4" workbookViewId="0">
      <selection activeCell="I25" sqref="I25"/>
    </sheetView>
  </sheetViews>
  <sheetFormatPr baseColWidth="10" defaultColWidth="9.140625" defaultRowHeight="15"/>
  <cols>
    <col min="1" max="1" width="2" customWidth="1"/>
    <col min="2" max="2" width="10" customWidth="1"/>
    <col min="3" max="3" width="30" customWidth="1"/>
    <col min="4" max="4" width="30" style="6" customWidth="1"/>
    <col min="5" max="5" width="28" customWidth="1"/>
    <col min="6" max="7" width="28" style="6" customWidth="1"/>
    <col min="8" max="8" width="14.42578125" customWidth="1"/>
  </cols>
  <sheetData>
    <row r="1" spans="1:1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>
      <c r="A2" s="11"/>
      <c r="B2" s="27" t="s">
        <v>5</v>
      </c>
      <c r="C2" s="28"/>
      <c r="D2" s="28"/>
      <c r="E2" s="28"/>
      <c r="F2" s="28"/>
      <c r="G2" s="28"/>
      <c r="H2" s="28"/>
      <c r="I2" s="28"/>
      <c r="J2" s="28"/>
      <c r="K2" s="28"/>
    </row>
    <row r="3" spans="1:11">
      <c r="A3" s="11"/>
      <c r="B3" s="12" t="s">
        <v>6</v>
      </c>
      <c r="C3" s="11"/>
      <c r="D3" s="11"/>
      <c r="E3" s="11"/>
      <c r="F3" s="11"/>
      <c r="G3" s="11"/>
      <c r="H3" s="11"/>
      <c r="I3" s="11"/>
      <c r="J3" s="11"/>
      <c r="K3" s="11"/>
    </row>
    <row r="4" spans="1:1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ht="32.1" customHeight="1">
      <c r="A5" s="11"/>
      <c r="B5" s="22" t="s">
        <v>7</v>
      </c>
      <c r="C5" s="23" t="s">
        <v>17</v>
      </c>
      <c r="D5" s="23" t="s">
        <v>18</v>
      </c>
      <c r="E5" s="23" t="s">
        <v>19</v>
      </c>
      <c r="F5" s="23" t="s">
        <v>20</v>
      </c>
      <c r="G5" s="23" t="s">
        <v>21</v>
      </c>
      <c r="H5" s="24" t="s">
        <v>22</v>
      </c>
      <c r="I5" s="11"/>
      <c r="J5" s="11"/>
      <c r="K5" s="11"/>
    </row>
    <row r="6" spans="1:11" s="10" customFormat="1">
      <c r="A6" s="11"/>
      <c r="B6" s="16">
        <v>2018</v>
      </c>
      <c r="C6" s="13">
        <v>356</v>
      </c>
      <c r="D6" s="13">
        <f>C6</f>
        <v>356</v>
      </c>
      <c r="E6" s="13">
        <v>315</v>
      </c>
      <c r="F6" s="13">
        <f>E6</f>
        <v>315</v>
      </c>
      <c r="G6" s="14">
        <v>100</v>
      </c>
      <c r="H6" s="17">
        <v>93.4</v>
      </c>
      <c r="I6" s="11"/>
      <c r="J6" s="11"/>
      <c r="K6" s="11"/>
    </row>
    <row r="7" spans="1:11" s="10" customFormat="1">
      <c r="A7" s="11"/>
      <c r="B7" s="16">
        <v>2019</v>
      </c>
      <c r="C7" s="13">
        <v>402</v>
      </c>
      <c r="D7" s="13">
        <f>C7*(G6/G7)</f>
        <v>391.81286549707602</v>
      </c>
      <c r="E7" s="13">
        <v>383</v>
      </c>
      <c r="F7" s="13">
        <f>E7*(G6/G7)</f>
        <v>373.29434697855754</v>
      </c>
      <c r="G7" s="15">
        <v>102.6</v>
      </c>
      <c r="H7" s="17">
        <v>95.8</v>
      </c>
      <c r="I7" s="11"/>
      <c r="J7" s="11"/>
      <c r="K7" s="11"/>
    </row>
    <row r="8" spans="1:11" s="10" customFormat="1">
      <c r="A8" s="11"/>
      <c r="B8" s="16">
        <v>2020</v>
      </c>
      <c r="C8" s="13">
        <v>389</v>
      </c>
      <c r="D8" s="13">
        <f>C8*(G6/G8)</f>
        <v>363.21195144724555</v>
      </c>
      <c r="E8" s="13">
        <v>422</v>
      </c>
      <c r="F8" s="13">
        <f>E8*(G6/G8)</f>
        <v>394.02427637721757</v>
      </c>
      <c r="G8" s="14">
        <v>107.1</v>
      </c>
      <c r="H8" s="17">
        <v>100</v>
      </c>
      <c r="I8" s="11"/>
      <c r="J8" s="11"/>
      <c r="K8" s="11"/>
    </row>
    <row r="9" spans="1:11" s="10" customFormat="1">
      <c r="A9" s="11"/>
      <c r="B9" s="16">
        <v>2021</v>
      </c>
      <c r="C9" s="13">
        <v>407</v>
      </c>
      <c r="D9" s="13">
        <f>C9*(G6/G9)</f>
        <v>366.33663366336634</v>
      </c>
      <c r="E9" s="13">
        <v>444</v>
      </c>
      <c r="F9" s="13">
        <f>E9*(G6/G9)</f>
        <v>399.63996399639962</v>
      </c>
      <c r="G9" s="14">
        <v>111.1</v>
      </c>
      <c r="H9" s="17">
        <v>103.8</v>
      </c>
      <c r="I9" s="11"/>
      <c r="J9" s="11"/>
      <c r="K9" s="11"/>
    </row>
    <row r="10" spans="1:11" s="10" customFormat="1">
      <c r="A10" s="11"/>
      <c r="B10" s="16">
        <v>2022</v>
      </c>
      <c r="C10" s="13">
        <v>432</v>
      </c>
      <c r="D10" s="13">
        <f>C10*(G6/G10)</f>
        <v>352.36541598694947</v>
      </c>
      <c r="E10" s="13">
        <v>453</v>
      </c>
      <c r="F10" s="13">
        <f>E10*(G6/G10)</f>
        <v>369.49429037520395</v>
      </c>
      <c r="G10" s="14">
        <v>122.6</v>
      </c>
      <c r="H10" s="17">
        <v>114.5</v>
      </c>
      <c r="I10" s="11"/>
      <c r="J10" s="11"/>
      <c r="K10" s="11"/>
    </row>
    <row r="11" spans="1:11" s="10" customFormat="1">
      <c r="A11" s="11"/>
      <c r="B11" s="16">
        <v>2023</v>
      </c>
      <c r="C11" s="13">
        <v>472</v>
      </c>
      <c r="D11" s="13">
        <f>C11*(G6/G11)</f>
        <v>355.15425131677955</v>
      </c>
      <c r="E11" s="13">
        <v>467</v>
      </c>
      <c r="F11" s="13">
        <f>E11*(G6/G11)</f>
        <v>351.39202407825434</v>
      </c>
      <c r="G11" s="14">
        <v>132.9</v>
      </c>
      <c r="H11" s="17">
        <v>124.1</v>
      </c>
      <c r="I11" s="11"/>
      <c r="J11" s="11"/>
      <c r="K11" s="11"/>
    </row>
    <row r="12" spans="1:11" s="10" customFormat="1">
      <c r="A12" s="11"/>
      <c r="B12" s="18">
        <v>2024</v>
      </c>
      <c r="C12" s="19">
        <v>509</v>
      </c>
      <c r="D12" s="19">
        <f>C12*(G6/G12)</f>
        <v>364.87455197132618</v>
      </c>
      <c r="E12" s="19">
        <v>525</v>
      </c>
      <c r="F12" s="19">
        <f>E12*(G6/G12)</f>
        <v>376.34408602150535</v>
      </c>
      <c r="G12" s="20">
        <v>139.5</v>
      </c>
      <c r="H12" s="21">
        <v>130.30000000000001</v>
      </c>
      <c r="I12" s="11"/>
      <c r="J12" s="11"/>
      <c r="K12" s="11"/>
    </row>
    <row r="13" spans="1:11">
      <c r="B13" s="3" t="s">
        <v>4</v>
      </c>
      <c r="D13" s="26">
        <f>C12*(H8/H12)</f>
        <v>390.63699155794319</v>
      </c>
      <c r="F13" s="26">
        <f>E12*(H8/H12)</f>
        <v>402.91634689178812</v>
      </c>
    </row>
    <row r="14" spans="1:11" s="6" customFormat="1">
      <c r="B14" s="3"/>
      <c r="D14" s="25">
        <f>(D13/D8)-1</f>
        <v>7.5506987039992701E-2</v>
      </c>
      <c r="F14" s="25">
        <f>(F13/F8)-1</f>
        <v>2.2567316400722959E-2</v>
      </c>
    </row>
    <row r="15" spans="1:11" s="6" customFormat="1">
      <c r="B15" s="3"/>
    </row>
    <row r="16" spans="1:11">
      <c r="B16" s="6" t="s">
        <v>23</v>
      </c>
      <c r="C16">
        <f>C12/C6</f>
        <v>1.4297752808988764</v>
      </c>
      <c r="D16" s="6">
        <f>D12/D6</f>
        <v>1.0249285167733881</v>
      </c>
      <c r="E16" s="6">
        <f>E12/E6</f>
        <v>1.6666666666666667</v>
      </c>
      <c r="F16" s="6">
        <f>F12/F6</f>
        <v>1.1947431302270011</v>
      </c>
      <c r="G16"/>
    </row>
    <row r="17" spans="3:7">
      <c r="C17" s="25">
        <f>(C16-1)</f>
        <v>0.4297752808988764</v>
      </c>
      <c r="D17" s="25">
        <f t="shared" ref="D17:F17" si="0">(D16-1)</f>
        <v>2.4928516773388143E-2</v>
      </c>
      <c r="E17" s="25">
        <f t="shared" si="0"/>
        <v>0.66666666666666674</v>
      </c>
      <c r="F17" s="25">
        <f t="shared" si="0"/>
        <v>0.19474313022700107</v>
      </c>
      <c r="G17"/>
    </row>
  </sheetData>
  <mergeCells count="1">
    <mergeCell ref="B2:K2"/>
  </mergeCells>
  <pageMargins left="0.75" right="0.75" top="1" bottom="1" header="0.5" footer="0.5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4"/>
  <sheetViews>
    <sheetView tabSelected="1" topLeftCell="A2" workbookViewId="0">
      <selection activeCell="K28" sqref="K28"/>
    </sheetView>
  </sheetViews>
  <sheetFormatPr baseColWidth="10" defaultColWidth="9.140625" defaultRowHeight="15"/>
  <cols>
    <col min="1" max="1" width="2" customWidth="1"/>
    <col min="2" max="2" width="34" customWidth="1"/>
    <col min="3" max="3" width="26" customWidth="1"/>
    <col min="4" max="4" width="24" customWidth="1"/>
  </cols>
  <sheetData>
    <row r="2" spans="2:4" ht="16.5">
      <c r="B2" s="29" t="s">
        <v>0</v>
      </c>
      <c r="C2" s="30"/>
      <c r="D2" s="30"/>
    </row>
    <row r="3" spans="2:4">
      <c r="B3" s="1" t="s">
        <v>1</v>
      </c>
    </row>
    <row r="5" spans="2:4" ht="32.1" customHeight="1">
      <c r="B5" s="2" t="s">
        <v>2</v>
      </c>
      <c r="C5" s="2" t="s">
        <v>9</v>
      </c>
      <c r="D5" s="2" t="s">
        <v>8</v>
      </c>
    </row>
    <row r="6" spans="2:4" ht="18" customHeight="1">
      <c r="B6" s="33" t="s">
        <v>3</v>
      </c>
      <c r="C6" s="34">
        <v>45.6</v>
      </c>
      <c r="D6" s="34">
        <v>23.33</v>
      </c>
    </row>
    <row r="7" spans="2:4" ht="25.5">
      <c r="B7" s="33" t="s">
        <v>15</v>
      </c>
      <c r="C7" s="34">
        <v>35.24</v>
      </c>
      <c r="D7" s="34">
        <v>17.97</v>
      </c>
    </row>
    <row r="8" spans="2:4" ht="25.5">
      <c r="B8" s="33" t="s">
        <v>39</v>
      </c>
      <c r="C8" s="34">
        <v>60.14</v>
      </c>
      <c r="D8" s="34">
        <v>39.479999999999997</v>
      </c>
    </row>
    <row r="9" spans="2:4" ht="25.5">
      <c r="B9" s="33" t="s">
        <v>14</v>
      </c>
      <c r="C9" s="34">
        <v>31.08</v>
      </c>
      <c r="D9" s="34">
        <v>16.84</v>
      </c>
    </row>
    <row r="10" spans="2:4">
      <c r="B10" s="33" t="s">
        <v>13</v>
      </c>
      <c r="C10" s="34">
        <v>8.0399999999999991</v>
      </c>
      <c r="D10" s="34">
        <v>3.88</v>
      </c>
    </row>
    <row r="11" spans="2:4">
      <c r="B11" s="33" t="s">
        <v>12</v>
      </c>
      <c r="C11" s="34">
        <v>18.82</v>
      </c>
      <c r="D11" s="34">
        <v>8.4600000000000009</v>
      </c>
    </row>
    <row r="12" spans="2:4" ht="25.5">
      <c r="B12" s="33" t="s">
        <v>16</v>
      </c>
      <c r="C12" s="34">
        <v>12.59</v>
      </c>
      <c r="D12" s="34">
        <v>6.86</v>
      </c>
    </row>
    <row r="13" spans="2:4">
      <c r="B13" s="33" t="s">
        <v>11</v>
      </c>
      <c r="C13" s="34">
        <v>5.88</v>
      </c>
      <c r="D13" s="34">
        <v>2.2999999999999998</v>
      </c>
    </row>
    <row r="14" spans="2:4">
      <c r="B14" s="3" t="s">
        <v>10</v>
      </c>
    </row>
  </sheetData>
  <mergeCells count="1">
    <mergeCell ref="B2:D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30C0C-4B32-412A-BB9B-F25E32C4B761}">
  <dimension ref="A2:E18"/>
  <sheetViews>
    <sheetView workbookViewId="0">
      <selection activeCell="A18" sqref="A18"/>
    </sheetView>
  </sheetViews>
  <sheetFormatPr baseColWidth="10" defaultRowHeight="15"/>
  <cols>
    <col min="1" max="1" width="34" style="9" customWidth="1"/>
    <col min="2" max="2" width="26" style="9" customWidth="1"/>
    <col min="3" max="3" width="24" style="9" customWidth="1"/>
    <col min="4" max="4" width="12.28515625" customWidth="1"/>
  </cols>
  <sheetData>
    <row r="2" spans="1:5" ht="16.5">
      <c r="A2" s="29" t="s">
        <v>2</v>
      </c>
      <c r="B2" s="30" t="s">
        <v>9</v>
      </c>
      <c r="C2" s="30" t="s">
        <v>8</v>
      </c>
    </row>
    <row r="3" spans="1:5">
      <c r="A3" s="1"/>
    </row>
    <row r="5" spans="1:5" ht="45">
      <c r="A5" s="2" t="s">
        <v>2</v>
      </c>
      <c r="B5" s="2" t="s">
        <v>9</v>
      </c>
      <c r="C5" s="2" t="s">
        <v>8</v>
      </c>
      <c r="D5" s="32" t="s">
        <v>31</v>
      </c>
      <c r="E5" s="32" t="s">
        <v>32</v>
      </c>
    </row>
    <row r="6" spans="1:5">
      <c r="A6" s="7" t="s">
        <v>34</v>
      </c>
      <c r="B6" s="4">
        <v>3.42</v>
      </c>
      <c r="C6" s="4">
        <v>1.18</v>
      </c>
      <c r="D6" s="31">
        <f>B6-C6</f>
        <v>2.2400000000000002</v>
      </c>
      <c r="E6">
        <f>B6/C6</f>
        <v>2.898305084745763</v>
      </c>
    </row>
    <row r="7" spans="1:5">
      <c r="A7" s="7" t="s">
        <v>38</v>
      </c>
      <c r="B7" s="4">
        <v>5.88</v>
      </c>
      <c r="C7" s="4">
        <v>2.2999999999999998</v>
      </c>
      <c r="D7" s="31">
        <f>B7-C7</f>
        <v>3.58</v>
      </c>
      <c r="E7" s="9">
        <f>B7/C7</f>
        <v>2.5565217391304351</v>
      </c>
    </row>
    <row r="8" spans="1:5">
      <c r="A8" s="8" t="s">
        <v>33</v>
      </c>
      <c r="B8" s="5">
        <v>18.82</v>
      </c>
      <c r="C8" s="5">
        <v>8.4600000000000009</v>
      </c>
      <c r="D8" s="31">
        <f>B8-C8</f>
        <v>10.36</v>
      </c>
      <c r="E8" s="9">
        <f>B8/C8</f>
        <v>2.2245862884160754</v>
      </c>
    </row>
    <row r="9" spans="1:5">
      <c r="A9" s="8" t="s">
        <v>27</v>
      </c>
      <c r="B9" s="5">
        <v>15.27</v>
      </c>
      <c r="C9" s="5">
        <v>6.92</v>
      </c>
      <c r="D9" s="31">
        <f>B9-C9</f>
        <v>8.35</v>
      </c>
      <c r="E9" s="9">
        <f>B9/C9</f>
        <v>2.2066473988439306</v>
      </c>
    </row>
    <row r="10" spans="1:5">
      <c r="A10" s="7" t="s">
        <v>28</v>
      </c>
      <c r="B10" s="4">
        <v>8.0399999999999991</v>
      </c>
      <c r="C10" s="4">
        <v>3.88</v>
      </c>
      <c r="D10" s="31">
        <f>B10-C10</f>
        <v>4.1599999999999993</v>
      </c>
      <c r="E10" s="9">
        <f>B10/C10</f>
        <v>2.072164948453608</v>
      </c>
    </row>
    <row r="11" spans="1:5" s="36" customFormat="1">
      <c r="A11" s="7" t="s">
        <v>30</v>
      </c>
      <c r="B11" s="4">
        <v>29.5</v>
      </c>
      <c r="C11" s="4">
        <v>14.72</v>
      </c>
      <c r="D11" s="31">
        <f>B11-C11</f>
        <v>14.78</v>
      </c>
      <c r="E11" s="9">
        <f>B11/C11</f>
        <v>2.0040760869565215</v>
      </c>
    </row>
    <row r="12" spans="1:5">
      <c r="A12" s="7" t="s">
        <v>36</v>
      </c>
      <c r="B12" s="4">
        <v>35.24</v>
      </c>
      <c r="C12" s="4">
        <v>17.97</v>
      </c>
      <c r="D12" s="31">
        <f>B12-C12</f>
        <v>17.270000000000003</v>
      </c>
      <c r="E12" s="9">
        <f>B12/C12</f>
        <v>1.9610461880912635</v>
      </c>
    </row>
    <row r="13" spans="1:5">
      <c r="A13" s="8" t="s">
        <v>25</v>
      </c>
      <c r="B13" s="5">
        <v>45.6</v>
      </c>
      <c r="C13" s="5">
        <v>23.33</v>
      </c>
      <c r="D13" s="31">
        <f>B13-C13</f>
        <v>22.270000000000003</v>
      </c>
      <c r="E13" s="9">
        <f>B13/C13</f>
        <v>1.9545649378482643</v>
      </c>
    </row>
    <row r="14" spans="1:5">
      <c r="A14" s="8" t="s">
        <v>29</v>
      </c>
      <c r="B14" s="5">
        <v>28.42</v>
      </c>
      <c r="C14" s="5">
        <v>15.2</v>
      </c>
      <c r="D14" s="35">
        <f>B14-C14</f>
        <v>13.220000000000002</v>
      </c>
      <c r="E14" s="9">
        <f>B14/C14</f>
        <v>1.8697368421052634</v>
      </c>
    </row>
    <row r="15" spans="1:5">
      <c r="A15" s="8" t="s">
        <v>37</v>
      </c>
      <c r="B15" s="5">
        <v>31.08</v>
      </c>
      <c r="C15" s="5">
        <v>16.84</v>
      </c>
      <c r="D15" s="31">
        <f>B15-C15</f>
        <v>14.239999999999998</v>
      </c>
      <c r="E15" s="9">
        <f>B15/C15</f>
        <v>1.845605700712589</v>
      </c>
    </row>
    <row r="16" spans="1:5">
      <c r="A16" s="8" t="s">
        <v>35</v>
      </c>
      <c r="B16" s="5">
        <v>12.59</v>
      </c>
      <c r="C16" s="5">
        <v>6.86</v>
      </c>
      <c r="D16" s="31">
        <f>B16-C16</f>
        <v>5.7299999999999995</v>
      </c>
      <c r="E16" s="9">
        <f>B16/C16</f>
        <v>1.8352769679300291</v>
      </c>
    </row>
    <row r="17" spans="1:5">
      <c r="A17" s="7" t="s">
        <v>24</v>
      </c>
      <c r="B17" s="4">
        <v>60.14</v>
      </c>
      <c r="C17" s="4">
        <v>39.479999999999997</v>
      </c>
      <c r="D17" s="31">
        <f>B17-C17</f>
        <v>20.660000000000004</v>
      </c>
      <c r="E17" s="9">
        <f>B17/C17</f>
        <v>1.5233029381965553</v>
      </c>
    </row>
    <row r="18" spans="1:5">
      <c r="A18" s="7" t="s">
        <v>26</v>
      </c>
      <c r="B18" s="4">
        <v>8.66</v>
      </c>
      <c r="C18" s="4">
        <v>5.95</v>
      </c>
      <c r="D18" s="31">
        <f>B18-C18</f>
        <v>2.71</v>
      </c>
      <c r="E18" s="9">
        <f>B18/C18</f>
        <v>1.4554621848739495</v>
      </c>
    </row>
  </sheetData>
  <autoFilter ref="A5:E5" xr:uid="{22E30C0C-4B32-412A-BB9B-F25E32C4B761}">
    <sortState xmlns:xlrd2="http://schemas.microsoft.com/office/spreadsheetml/2017/richdata2" ref="A6:E18">
      <sortCondition descending="1" ref="E5"/>
    </sortState>
  </autoFilter>
  <mergeCells count="1">
    <mergeCell ref="A2:C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Abb1_Einkommenslücke</vt:lpstr>
      <vt:lpstr>Abb2_Deprivation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LOCHBIHLER Anna</cp:lastModifiedBy>
  <dcterms:created xsi:type="dcterms:W3CDTF">2026-03-16T13:20:46Z</dcterms:created>
  <dcterms:modified xsi:type="dcterms:W3CDTF">2026-03-30T09:09:50Z</dcterms:modified>
</cp:coreProperties>
</file>